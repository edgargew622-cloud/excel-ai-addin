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Свод" sheetId="3" state="visible" r:id="rId3"/>
    <sheet xmlns:r="http://schemas.openxmlformats.org/officeDocument/2006/relationships" name="Защищённый" sheetId="4" state="visible" r:id="rId4"/>
    <sheet xmlns:r="http://schemas.openxmlformats.org/officeDocument/2006/relationships" name="Пустой" sheetId="5" state="visible" r:id="rId5"/>
    <sheet xmlns:r="http://schemas.openxmlformats.org/officeDocument/2006/relationships" name="Скрытый" sheetId="6" state="hidden" r:id="rId6"/>
  </sheets>
  <definedNames>
    <definedName name="SalesBlock">'Продажи'!$A$1:$F$6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Сумма по строкам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'Продажи'!F1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'Продажи'!$C$2:$C$6</f>
            </numRef>
          </cat>
          <val>
            <numRef>
              <f>'Продажи'!$F$2:$F$6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G6" headerRowCount="1">
  <autoFilter ref="A1:G6"/>
  <tableColumns count="7">
    <tableColumn id="1" name="Дата"/>
    <tableColumn id="2" name="Город"/>
    <tableColumn id="3" name="Товар"/>
    <tableColumn id="4" name="Количество"/>
    <tableColumn id="5" name="Цена"/>
    <tableColumn id="6" name="Сумма"/>
    <tableColumn id="7" name="Ошибка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Город</t>
        </is>
      </c>
      <c r="C1" s="1" t="inlineStr">
        <is>
          <t>Товар</t>
        </is>
      </c>
      <c r="D1" s="1" t="inlineStr">
        <is>
          <t>Количество</t>
        </is>
      </c>
      <c r="E1" s="1" t="inlineStr">
        <is>
          <t>Цена</t>
        </is>
      </c>
      <c r="F1" s="1" t="inlineStr">
        <is>
          <t>Сумма</t>
        </is>
      </c>
      <c r="G1" s="1" t="inlineStr">
        <is>
          <t>Ошибка</t>
        </is>
      </c>
    </row>
    <row r="2">
      <c r="A2" t="inlineStr">
        <is>
          <t>2026-09-01</t>
        </is>
      </c>
      <c r="B2" t="inlineStr">
        <is>
          <t>Москва</t>
        </is>
      </c>
      <c r="C2" t="inlineStr">
        <is>
          <t>Кофе</t>
        </is>
      </c>
      <c r="D2" t="n">
        <v>2</v>
      </c>
      <c r="E2" t="n">
        <v>450</v>
      </c>
      <c r="F2">
        <f>D2*E2</f>
        <v/>
      </c>
      <c r="G2">
        <f>1/0</f>
        <v/>
      </c>
    </row>
    <row r="3">
      <c r="A3" t="inlineStr">
        <is>
          <t>2026-09-02</t>
        </is>
      </c>
      <c r="B3" t="inlineStr">
        <is>
          <t>Казань</t>
        </is>
      </c>
      <c r="C3" t="inlineStr">
        <is>
          <t>Чай</t>
        </is>
      </c>
      <c r="D3" t="n">
        <v>3</v>
      </c>
      <c r="E3" t="n">
        <v>280</v>
      </c>
      <c r="F3">
        <f>D3*E3</f>
        <v/>
      </c>
    </row>
    <row r="4">
      <c r="A4" t="inlineStr">
        <is>
          <t>2026-09-03</t>
        </is>
      </c>
      <c r="B4" t="inlineStr">
        <is>
          <t>Москва</t>
        </is>
      </c>
      <c r="C4" t="inlineStr">
        <is>
          <t>Какао</t>
        </is>
      </c>
      <c r="D4" t="n">
        <v>1</v>
      </c>
      <c r="E4" t="n">
        <v>520</v>
      </c>
      <c r="F4">
        <f>D4*E4</f>
        <v/>
      </c>
    </row>
    <row r="5">
      <c r="A5" t="inlineStr">
        <is>
          <t>2026-09-04</t>
        </is>
      </c>
      <c r="B5" t="inlineStr">
        <is>
          <t>Омск</t>
        </is>
      </c>
      <c r="C5" t="inlineStr">
        <is>
          <t>Кофе</t>
        </is>
      </c>
      <c r="D5" t="n">
        <v>4</v>
      </c>
      <c r="E5" t="n">
        <v>450</v>
      </c>
      <c r="F5">
        <f>D5*E5</f>
        <v/>
      </c>
    </row>
    <row r="6">
      <c r="A6" t="inlineStr">
        <is>
          <t>2026-09-05</t>
        </is>
      </c>
      <c r="B6" t="inlineStr">
        <is>
          <t>Казань</t>
        </is>
      </c>
      <c r="C6" t="inlineStr">
        <is>
          <t>Чай</t>
        </is>
      </c>
      <c r="D6" t="n">
        <v>2</v>
      </c>
      <c r="E6" t="n">
        <v>280</v>
      </c>
      <c r="F6">
        <f>D6*E6</f>
        <v/>
      </c>
    </row>
    <row r="9">
      <c r="A9" t="inlineStr">
        <is>
          <t>Объединено A9:C9</t>
        </is>
      </c>
    </row>
  </sheetData>
  <mergeCells count="1">
    <mergeCell ref="A9:C9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Категория</t>
        </is>
      </c>
      <c r="C1" t="inlineStr">
        <is>
          <t>Наценка</t>
        </is>
      </c>
    </row>
    <row r="2">
      <c r="A2" t="inlineStr">
        <is>
          <t>Кофе</t>
        </is>
      </c>
      <c r="B2" t="inlineStr">
        <is>
          <t>Напитки</t>
        </is>
      </c>
      <c r="C2" t="n">
        <v>0.15</v>
      </c>
    </row>
    <row r="3">
      <c r="A3" t="inlineStr">
        <is>
          <t>Чай</t>
        </is>
      </c>
      <c r="B3" t="inlineStr">
        <is>
          <t>Напитки</t>
        </is>
      </c>
      <c r="C3" t="n">
        <v>0.1</v>
      </c>
    </row>
    <row r="4">
      <c r="A4" t="inlineStr">
        <is>
          <t>Какао</t>
        </is>
      </c>
      <c r="B4" t="inlineStr">
        <is>
          <t>Напитки</t>
        </is>
      </c>
      <c r="C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Выручка</t>
        </is>
      </c>
      <c r="C1" t="inlineStr">
        <is>
          <t>Доля</t>
        </is>
      </c>
      <c r="E1" t="inlineStr">
        <is>
          <t>Всего товаров</t>
        </is>
      </c>
    </row>
    <row r="2">
      <c r="A2" t="inlineStr">
        <is>
          <t>Москва</t>
        </is>
      </c>
      <c r="B2">
        <f>SUMIF(Продажи!$B$2:$B$6,A2,Продажи!$F$2:$F$6)</f>
        <v/>
      </c>
      <c r="C2">
        <f>B2/SUM($B$2:$B$4)</f>
        <v/>
      </c>
      <c r="E2">
        <f>COUNTA(Справочник!A2:A4)</f>
        <v/>
      </c>
    </row>
    <row r="3">
      <c r="A3" t="inlineStr">
        <is>
          <t>Казань</t>
        </is>
      </c>
      <c r="B3">
        <f>SUMIF(Продажи!$B$2:$B$6,A3,Продажи!$F$2:$F$6)</f>
        <v/>
      </c>
      <c r="C3">
        <f>B3/SUM($B$2:$B$4)</f>
        <v/>
      </c>
    </row>
    <row r="4">
      <c r="A4" t="inlineStr">
        <is>
          <t>Омск</t>
        </is>
      </c>
      <c r="B4">
        <f>SUMIF(Продажи!$B$2:$B$6,A4,Продажи!$F$2:$F$6)</f>
        <v/>
      </c>
      <c r="C4">
        <f>B4/SUM($B$2:$B$4)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Запись запрещена защитой листа</t>
        </is>
      </c>
    </row>
    <row r="2">
      <c r="A2">
        <f>Продажи!F2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Этот лист скрыт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2026-09-17T22:48:24Z</dcterms:created>
  <dcterms:modified xmlns:dcterms="http://purl.org/dc/terms/" xmlns:xsi="http://www.w3.org/2001/XMLSchema-instance" xsi:type="dcterms:W3CDTF">2026-09-17T22:48:24Z</dcterms:modified>
</cp:coreProperties>
</file>