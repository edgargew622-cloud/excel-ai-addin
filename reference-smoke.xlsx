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1\Desktop\excel-ai-addin-rc6\"/>
    </mc:Choice>
  </mc:AlternateContent>
  <xr:revisionPtr revIDLastSave="0" documentId="13_ncr:1_{F9FF9C2D-CA5C-490F-AF51-EDAF60ADF4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Продажи" sheetId="1" r:id="rId1"/>
    <sheet name="Справочник" sheetId="2" r:id="rId2"/>
    <sheet name="Свод" sheetId="3" r:id="rId3"/>
    <sheet name="Защищённый" sheetId="4" r:id="rId4"/>
    <sheet name="Пустой" sheetId="5" r:id="rId5"/>
    <sheet name="Скрытый" sheetId="6" state="hidden" r:id="rId6"/>
  </sheets>
  <definedNames>
    <definedName name="SalesBlock">Продажи!$A$1:$F$6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G2" i="1"/>
  <c r="G3" i="1"/>
  <c r="G4" i="1"/>
  <c r="G5" i="1"/>
  <c r="G6" i="1"/>
  <c r="B4" i="3"/>
  <c r="B3" i="3"/>
  <c r="E2" i="3"/>
  <c r="B2" i="3"/>
  <c r="A2" i="4"/>
  <c r="C3" i="3" l="1"/>
  <c r="C2" i="3"/>
  <c r="C4" i="3"/>
</calcChain>
</file>

<file path=xl/sharedStrings.xml><?xml version="1.0" encoding="utf-8"?>
<sst xmlns="http://schemas.openxmlformats.org/spreadsheetml/2006/main" count="41" uniqueCount="27">
  <si>
    <t>Дата</t>
  </si>
  <si>
    <t>Город</t>
  </si>
  <si>
    <t>Товар</t>
  </si>
  <si>
    <t>Количество</t>
  </si>
  <si>
    <t>Цена</t>
  </si>
  <si>
    <t>Сумма</t>
  </si>
  <si>
    <t>Ошибка</t>
  </si>
  <si>
    <t>2026-09-01</t>
  </si>
  <si>
    <t>Москва</t>
  </si>
  <si>
    <t>Кофе</t>
  </si>
  <si>
    <t>2026-09-02</t>
  </si>
  <si>
    <t>Казань</t>
  </si>
  <si>
    <t>Чай</t>
  </si>
  <si>
    <t>2026-09-03</t>
  </si>
  <si>
    <t>Какао</t>
  </si>
  <si>
    <t>2026-09-04</t>
  </si>
  <si>
    <t>Омск</t>
  </si>
  <si>
    <t>2026-09-05</t>
  </si>
  <si>
    <t>Объединено A9:C9</t>
  </si>
  <si>
    <t>Категория</t>
  </si>
  <si>
    <t>Наценка</t>
  </si>
  <si>
    <t>Напитки</t>
  </si>
  <si>
    <t>Выручка</t>
  </si>
  <si>
    <t>Доля</t>
  </si>
  <si>
    <t>Всего товаров</t>
  </si>
  <si>
    <t>Запись запрещена защитой листа</t>
  </si>
  <si>
    <t>Этот лист скрыт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</si>
</sst>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/>
    <xf numFmtId="0" fontId="1" fillId="2" borderId="0" xfId="0" quotePrefix="1" applyFont="1" applyFill="1" applyAlignment="1">
      <alignment horizontal="center"/>
    </xf>
    <xf numFmtId="0" fontId="0" fillId="0" borderId="0" xfId="0" quotePrefix="1"/>
  </cellXfs>
  <cellStyles count="1">
    <cellStyle name="Обычный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ru-RU"/>
              <a:t>Сумма по строкам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Продажи!$F$1</c:f>
              <c:strCache>
                <c:ptCount val="1"/>
                <c:pt idx="0">
                  <c:v>Сумма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Продажи!$C$2:$C$6</c:f>
              <c:strCache>
                <c:ptCount val="5"/>
                <c:pt idx="0">
                  <c:v>Кофе</c:v>
                </c:pt>
                <c:pt idx="1">
                  <c:v>Чай</c:v>
                </c:pt>
                <c:pt idx="2">
                  <c:v>Какао</c:v>
                </c:pt>
                <c:pt idx="3">
                  <c:v>Кофе</c:v>
                </c:pt>
                <c:pt idx="4">
                  <c:v>Чай</c:v>
                </c:pt>
              </c:strCache>
            </c:strRef>
          </c:cat>
          <c:val>
            <c:numRef>
              <c:f>Продажи!$F$2:$F$6</c:f>
              <c:numCache>
                <c:formatCode>General</c:formatCode>
                <c:ptCount val="5"/>
                <c:pt idx="0">
                  <c:v>900</c:v>
                </c:pt>
                <c:pt idx="1">
                  <c:v>840</c:v>
                </c:pt>
                <c:pt idx="2">
                  <c:v>520</c:v>
                </c:pt>
                <c:pt idx="3">
                  <c:v>1800</c:v>
                </c:pt>
                <c:pt idx="4">
                  <c:v>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B6-4409-9463-A3A011CF0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Table" displayName="SalesTable" ref="A1:G6">
  <autoFilter ref="A1:G6" xr:uid="{00000000-0009-0000-0100-000001000000}"/>
  <tableColumns count="7">
    <tableColumn id="1" xr3:uid="{00000000-0010-0000-0000-000001000000}" name="Дата"/>
    <tableColumn id="2" xr3:uid="{00000000-0010-0000-0000-000002000000}" name="Город"/>
    <tableColumn id="3" xr3:uid="{00000000-0010-0000-0000-000003000000}" name="Товар"/>
    <tableColumn id="4" xr3:uid="{00000000-0010-0000-0000-000004000000}" name="Количество"/>
    <tableColumn id="5" xr3:uid="{00000000-0010-0000-0000-000005000000}" name="Цена"/>
    <tableColumn id="6" xr3:uid="{00000000-0010-0000-0000-000006000000}" name="Сумма">
      <calculatedColumnFormula>D2*E2</calculatedColumnFormula>
    </tableColumn>
    <tableColumn id="7" xr3:uid="{00000000-0010-0000-0000-000007000000}" name="Ошибка" dataDxfId="0">
      <calculatedColumnFormula>1/0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9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9E56172-D7BD-4764-A962-86FD873178A2}">
  <we:reference id="5f2c9a41-1f7c-4f2b-9a0e-9c1f2d7b3e10" version="1.0.0.0" store="\\localhost\C$\Users\1\Desktop\excel-ai-addin-rc6\catalog" storeType="Filesystem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/>
  </sheetViews>
  <sheetFormatPr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3" t="s">
        <v>7</v>
      </c>
      <c r="B2" s="3" t="s">
        <v>8</v>
      </c>
      <c r="C2" s="3" t="s">
        <v>9</v>
      </c>
      <c r="D2">
        <v>2</v>
      </c>
      <c r="E2">
        <v>450</v>
      </c>
      <c r="F2">
        <f>D2*E2</f>
        <v>900</v>
      </c>
      <c r="G2" t="e">
        <f t="shared" ref="G2:G6" si="0">1/0</f>
        <v>#DIV/0!</v>
      </c>
    </row>
    <row r="3" spans="1:7" x14ac:dyDescent="0.3">
      <c r="A3" s="3" t="s">
        <v>10</v>
      </c>
      <c r="B3" s="3" t="s">
        <v>11</v>
      </c>
      <c r="C3" s="3" t="s">
        <v>12</v>
      </c>
      <c r="D3">
        <v>3</v>
      </c>
      <c r="E3">
        <v>280</v>
      </c>
      <c r="F3">
        <f>D3*E3</f>
        <v>840</v>
      </c>
      <c r="G3" t="e">
        <f t="shared" si="0"/>
        <v>#DIV/0!</v>
      </c>
    </row>
    <row r="4" spans="1:7" x14ac:dyDescent="0.3">
      <c r="A4" s="3" t="s">
        <v>13</v>
      </c>
      <c r="B4" s="3" t="s">
        <v>8</v>
      </c>
      <c r="C4" s="3" t="s">
        <v>14</v>
      </c>
      <c r="D4">
        <v>1</v>
      </c>
      <c r="E4">
        <v>520</v>
      </c>
      <c r="F4">
        <f>D4*E4</f>
        <v>520</v>
      </c>
      <c r="G4" t="e">
        <f t="shared" si="0"/>
        <v>#DIV/0!</v>
      </c>
    </row>
    <row r="5" spans="1:7" x14ac:dyDescent="0.3">
      <c r="A5" s="3" t="s">
        <v>15</v>
      </c>
      <c r="B5" s="3" t="s">
        <v>16</v>
      </c>
      <c r="C5" s="3" t="s">
        <v>9</v>
      </c>
      <c r="D5">
        <v>4</v>
      </c>
      <c r="E5">
        <v>450</v>
      </c>
      <c r="F5">
        <f>D5*E5</f>
        <v>1800</v>
      </c>
      <c r="G5" t="e">
        <f t="shared" si="0"/>
        <v>#DIV/0!</v>
      </c>
    </row>
    <row r="6" spans="1:7" x14ac:dyDescent="0.3">
      <c r="A6" s="3" t="s">
        <v>17</v>
      </c>
      <c r="B6" s="3" t="s">
        <v>11</v>
      </c>
      <c r="C6" s="3" t="s">
        <v>12</v>
      </c>
      <c r="D6">
        <v>2</v>
      </c>
      <c r="E6">
        <v>280</v>
      </c>
      <c r="F6">
        <f>D6*E6</f>
        <v>560</v>
      </c>
      <c r="G6" t="e">
        <f t="shared" si="0"/>
        <v>#DIV/0!</v>
      </c>
    </row>
    <row r="9" spans="1:7" x14ac:dyDescent="0.3">
      <c r="A9" s="1" t="s">
        <v>18</v>
      </c>
      <c r="B9" s="1"/>
      <c r="C9" s="1"/>
    </row>
  </sheetData>
  <mergeCells count="1">
    <mergeCell ref="A9:C9"/>
  </mergeCells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/>
  </sheetViews>
  <sheetFormatPr defaultRowHeight="14.4" x14ac:dyDescent="0.3"/>
  <sheetData>
    <row r="1" spans="1:3" x14ac:dyDescent="0.3">
      <c r="A1" t="s">
        <v>2</v>
      </c>
      <c r="B1" t="s">
        <v>19</v>
      </c>
      <c r="C1" t="s">
        <v>20</v>
      </c>
    </row>
    <row r="2" spans="1:3" x14ac:dyDescent="0.3">
      <c r="A2" t="s">
        <v>9</v>
      </c>
      <c r="B2" t="s">
        <v>21</v>
      </c>
      <c r="C2">
        <v>0.15</v>
      </c>
    </row>
    <row r="3" spans="1:3" x14ac:dyDescent="0.3">
      <c r="A3" t="s">
        <v>12</v>
      </c>
      <c r="B3" t="s">
        <v>21</v>
      </c>
      <c r="C3">
        <v>0.1</v>
      </c>
    </row>
    <row r="4" spans="1:3" x14ac:dyDescent="0.3">
      <c r="A4" t="s">
        <v>14</v>
      </c>
      <c r="B4" t="s">
        <v>21</v>
      </c>
      <c r="C4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/>
  </sheetViews>
  <sheetFormatPr defaultRowHeight="14.4" x14ac:dyDescent="0.3"/>
  <sheetData>
    <row r="1" spans="1:5" x14ac:dyDescent="0.3">
      <c r="A1" t="s">
        <v>1</v>
      </c>
      <c r="B1" t="s">
        <v>22</v>
      </c>
      <c r="C1" t="s">
        <v>23</v>
      </c>
      <c r="E1" t="s">
        <v>24</v>
      </c>
    </row>
    <row r="2" spans="1:5" x14ac:dyDescent="0.3">
      <c r="A2" t="s">
        <v>8</v>
      </c>
      <c r="B2">
        <f>SUMIF(Продажи!$B$2:$B$6,A2,Продажи!$F$2:$F$6)</f>
        <v>1420</v>
      </c>
      <c r="C2">
        <f>B2/SUM($B$2:$B$4)</f>
        <v>0.30735930735930733</v>
      </c>
      <c r="E2">
        <f>COUNTA(Справочник!A2:A4)</f>
        <v>3</v>
      </c>
    </row>
    <row r="3" spans="1:5" x14ac:dyDescent="0.3">
      <c r="A3" t="s">
        <v>11</v>
      </c>
      <c r="B3">
        <f>SUMIF(Продажи!$B$2:$B$6,A3,Продажи!$F$2:$F$6)</f>
        <v>1400</v>
      </c>
      <c r="C3">
        <f>B3/SUM($B$2:$B$4)</f>
        <v>0.30303030303030304</v>
      </c>
    </row>
    <row r="4" spans="1:5" x14ac:dyDescent="0.3">
      <c r="A4" t="s">
        <v>16</v>
      </c>
      <c r="B4">
        <f>SUMIF(Продажи!$B$2:$B$6,A4,Продажи!$F$2:$F$6)</f>
        <v>1800</v>
      </c>
      <c r="C4">
        <f>B4/SUM($B$2:$B$4)</f>
        <v>0.38961038961038963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/>
  </sheetViews>
  <sheetFormatPr defaultRowHeight="14.4" x14ac:dyDescent="0.3"/>
  <sheetData>
    <row r="1" spans="1:1" x14ac:dyDescent="0.3">
      <c r="A1" t="s">
        <v>25</v>
      </c>
    </row>
    <row r="2" spans="1:1" x14ac:dyDescent="0.3">
      <c r="A2">
        <f>Продажи!F2</f>
        <v>900</v>
      </c>
    </row>
  </sheetData>
  <sheetProtection sheet="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.4" x14ac:dyDescent="0.3"/>
  <sheetData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4" x14ac:dyDescent="0.3"/>
  <sheetData>
    <row r="1" spans="1:1" x14ac:dyDescent="0.3">
      <c r="A1" t="s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1</vt:i4>
      </vt:variant>
    </vt:vector>
  </HeadingPairs>
  <TitlesOfParts>
    <vt:vector size="7" baseType="lpstr">
      <vt:lpstr>Продажи</vt:lpstr>
      <vt:lpstr>Справочник</vt:lpstr>
      <vt:lpstr>Свод</vt:lpstr>
      <vt:lpstr>Защищённый</vt:lpstr>
      <vt:lpstr>Пустой</vt:lpstr>
      <vt:lpstr>Скрытый</vt:lpstr>
      <vt:lpstr>SalesBlock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Эд Гев</cp:lastModifiedBy>
  <dcterms:created xsi:type="dcterms:W3CDTF">2026-09-17T00:03:57Z</dcterms:created>
  <dcterms:modified xsi:type="dcterms:W3CDTF">2026-09-17T00:05:50Z</dcterms:modified>
</cp:coreProperties>
</file>